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\АРМ СРЗА-версия-5.9-декабрь-2023\dan\Минерал+ШТЭЦ\Приказы\"/>
    </mc:Choice>
  </mc:AlternateContent>
  <bookViews>
    <workbookView xWindow="0" yWindow="0" windowWidth="28800" windowHeight="1215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I18" i="1" l="1"/>
  <c r="H18" i="1"/>
  <c r="G18" i="1"/>
  <c r="F18" i="1"/>
  <c r="E18" i="1"/>
  <c r="I17" i="1"/>
  <c r="H17" i="1"/>
  <c r="G17" i="1"/>
  <c r="F17" i="1"/>
  <c r="E17" i="1"/>
  <c r="I16" i="1"/>
  <c r="H16" i="1"/>
  <c r="G16" i="1"/>
  <c r="F16" i="1"/>
  <c r="E16" i="1"/>
  <c r="I15" i="1"/>
  <c r="H15" i="1"/>
  <c r="G15" i="1"/>
  <c r="F15" i="1"/>
  <c r="E15" i="1"/>
  <c r="I14" i="1"/>
  <c r="H14" i="1"/>
  <c r="G14" i="1"/>
  <c r="F14" i="1"/>
  <c r="E14" i="1"/>
  <c r="I13" i="1"/>
  <c r="H13" i="1"/>
  <c r="G13" i="1"/>
  <c r="F13" i="1"/>
  <c r="E13" i="1"/>
  <c r="I12" i="1"/>
  <c r="H12" i="1"/>
  <c r="G12" i="1"/>
  <c r="F12" i="1"/>
  <c r="E12" i="1"/>
  <c r="I11" i="1"/>
  <c r="H11" i="1"/>
  <c r="G11" i="1"/>
  <c r="F11" i="1"/>
  <c r="E11" i="1"/>
  <c r="I10" i="1"/>
  <c r="H10" i="1"/>
  <c r="G10" i="1"/>
  <c r="F10" i="1"/>
  <c r="E10" i="1"/>
  <c r="I9" i="1"/>
  <c r="H9" i="1"/>
  <c r="G9" i="1"/>
  <c r="F9" i="1"/>
  <c r="E9" i="1"/>
  <c r="I8" i="1"/>
  <c r="H8" i="1"/>
  <c r="G8" i="1"/>
  <c r="F8" i="1"/>
  <c r="E8" i="1"/>
  <c r="I7" i="1"/>
  <c r="H7" i="1"/>
  <c r="G7" i="1"/>
  <c r="F7" i="1"/>
  <c r="E7" i="1"/>
  <c r="I6" i="1"/>
  <c r="H6" i="1"/>
  <c r="G6" i="1"/>
  <c r="F6" i="1"/>
  <c r="E6" i="1"/>
  <c r="I5" i="1"/>
  <c r="H5" i="1"/>
  <c r="G5" i="1"/>
  <c r="F5" i="1"/>
  <c r="E5" i="1"/>
  <c r="I4" i="1"/>
  <c r="H4" i="1"/>
  <c r="G4" i="1"/>
  <c r="F4" i="1"/>
  <c r="E4" i="1"/>
  <c r="I3" i="1"/>
  <c r="H3" i="1"/>
  <c r="G3" i="1"/>
  <c r="F3" i="1"/>
  <c r="E3" i="1"/>
  <c r="I2" i="1"/>
  <c r="H2" i="1"/>
  <c r="G2" i="1"/>
  <c r="F2" i="1"/>
  <c r="E2" i="1"/>
</calcChain>
</file>

<file path=xl/sharedStrings.xml><?xml version="1.0" encoding="utf-8"?>
<sst xmlns="http://schemas.openxmlformats.org/spreadsheetml/2006/main" count="30" uniqueCount="30">
  <si>
    <t>№</t>
  </si>
  <si>
    <t>U</t>
  </si>
  <si>
    <t>P</t>
  </si>
  <si>
    <t>Q</t>
  </si>
  <si>
    <t>I</t>
  </si>
  <si>
    <t>Z</t>
  </si>
  <si>
    <t>F</t>
  </si>
  <si>
    <t>R</t>
  </si>
  <si>
    <t>X</t>
  </si>
  <si>
    <t>Комментарий</t>
  </si>
  <si>
    <t>1</t>
  </si>
  <si>
    <t>2</t>
  </si>
  <si>
    <t>3</t>
  </si>
  <si>
    <t>4</t>
  </si>
  <si>
    <t>5</t>
  </si>
  <si>
    <t>6</t>
  </si>
  <si>
    <r>
      <t>ДДРТ</t>
    </r>
    <r>
      <rPr>
        <b/>
        <sz val="12"/>
        <color theme="1"/>
        <rFont val="Times New Roman"/>
        <family val="1"/>
        <charset val="204"/>
      </rPr>
      <t xml:space="preserve"> ВН</t>
    </r>
    <r>
      <rPr>
        <sz val="12"/>
        <color theme="1"/>
        <rFont val="Times New Roman"/>
        <family val="1"/>
        <charset val="204"/>
      </rPr>
      <t>, А</t>
    </r>
  </si>
  <si>
    <r>
      <t xml:space="preserve">ДДТН </t>
    </r>
    <r>
      <rPr>
        <b/>
        <sz val="12"/>
        <color theme="1"/>
        <rFont val="Times New Roman"/>
        <family val="1"/>
        <charset val="204"/>
      </rPr>
      <t>ВН</t>
    </r>
    <r>
      <rPr>
        <sz val="12"/>
        <color theme="1"/>
        <rFont val="Times New Roman"/>
        <family val="1"/>
        <charset val="204"/>
      </rPr>
      <t>, А</t>
    </r>
  </si>
  <si>
    <r>
      <t xml:space="preserve">АДТН </t>
    </r>
    <r>
      <rPr>
        <b/>
        <sz val="12"/>
        <color theme="1"/>
        <rFont val="Times New Roman"/>
        <family val="1"/>
        <charset val="204"/>
      </rPr>
      <t>ВН</t>
    </r>
    <r>
      <rPr>
        <sz val="12"/>
        <color theme="1"/>
        <rFont val="Times New Roman"/>
        <family val="1"/>
        <charset val="204"/>
      </rPr>
      <t>, А</t>
    </r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</si>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</sst>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b/>
      <sz val="12"/>
      <color rgb="FF0000FF"/>
      <name val="Times New Roman"/>
      <family val="1"/>
      <charset val="204"/>
    </font>
    <font>
      <b/>
      <sz val="12"/>
      <color rgb="FFC00000"/>
      <name val="Times New Roman"/>
      <family val="1"/>
      <charset val="204"/>
    </font>
    <font>
      <sz val="11"/>
      <color rgb="FF0000FF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0" borderId="0" xfId="0" applyFill="1"/>
    <xf numFmtId="0" fontId="2" fillId="0" borderId="0" xfId="0" applyFont="1"/>
    <xf numFmtId="0" fontId="4" fillId="0" borderId="0" xfId="0" applyFont="1" applyFill="1" applyBorder="1" applyAlignment="1">
      <alignment horizontal="left" vertical="top" wrapText="1"/>
    </xf>
    <xf numFmtId="0" fontId="5" fillId="0" borderId="0" xfId="0" applyFont="1"/>
    <xf numFmtId="1" fontId="5" fillId="0" borderId="0" xfId="0" applyNumberFormat="1" applyFont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9" fillId="0" borderId="0" xfId="0" applyFont="1"/>
    <xf numFmtId="2" fontId="10" fillId="0" borderId="0" xfId="0" applyNumberFormat="1" applyFont="1"/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1"/>
  <sheetViews>
    <sheetView tabSelected="1" workbookViewId="0">
      <selection activeCell="K13" sqref="K13"/>
    </sheetView>
  </sheetViews>
  <sheetFormatPr defaultRowHeight="15" x14ac:dyDescent="0.25"/>
  <cols>
    <col min="1" max="1" width="3.85546875" customWidth="1"/>
    <col min="4" max="4" width="9.140625" customWidth="1"/>
    <col min="5" max="5" width="10.42578125" customWidth="1"/>
    <col min="6" max="6" width="10.85546875" customWidth="1"/>
    <col min="10" max="10" width="6" style="4" customWidth="1"/>
  </cols>
  <sheetData>
    <row r="1" spans="1:13" ht="38.25" x14ac:dyDescent="0.25">
      <c r="A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6" t="s">
        <v>9</v>
      </c>
      <c r="K1" s="2"/>
      <c r="M1" s="12"/>
    </row>
    <row r="2" spans="1:13" x14ac:dyDescent="0.25">
      <c r="A2" s="1" t="s">
        <v>10</v>
      </c>
      <c r="B2" s="11">
        <v>205.69999694824199</v>
      </c>
      <c r="C2" s="11">
        <v>307</v>
      </c>
      <c r="D2" s="11">
        <v>75.900001525878906</v>
      </c>
      <c r="E2" s="13">
        <f t="shared" ref="E2:E18" si="0">1000*SQRT(C2*C2+D2*D2)/(B2*SQRT(3))</f>
        <v>887.61858920508996</v>
      </c>
      <c r="F2" s="13">
        <f t="shared" ref="F2:F18" si="1">1000*B2/(E2*SQRT(3))</f>
        <v>133.79727515252901</v>
      </c>
      <c r="G2" s="13">
        <f t="shared" ref="G2:G18" si="2">ROUND(IF(AND(C2=0,D2=0),0,IF(C2=0,IF(D2&gt;0,90,-90),DEGREES(IF(C2&gt;0,ATAN(D2/C2),IF(D2&gt;=0,PI()+ATAN(D2/C2),ATAN(D2/C2)-PI()))))),2)</f>
        <v>13.89</v>
      </c>
      <c r="H2" s="13">
        <f t="shared" ref="H2:H18" si="3">COS(RADIANS(G2))*F2</f>
        <v>129.88482801501999</v>
      </c>
      <c r="I2" s="13">
        <f t="shared" ref="I2:I18" si="4">SIN(RADIANS(G2))*F2</f>
        <v>32.119188809029701</v>
      </c>
      <c r="J2" s="3"/>
    </row>
    <row r="3" spans="1:13" x14ac:dyDescent="0.25">
      <c r="A3" s="1" t="s">
        <v>11</v>
      </c>
      <c r="B3" s="11">
        <v>213.89999389648401</v>
      </c>
      <c r="C3" s="11">
        <v>284.10000610351602</v>
      </c>
      <c r="D3" s="11">
        <v>60</v>
      </c>
      <c r="E3" s="13">
        <f t="shared" si="0"/>
        <v>783.74609739234097</v>
      </c>
      <c r="F3" s="13">
        <f t="shared" si="1"/>
        <v>157.570442094301</v>
      </c>
      <c r="G3" s="13">
        <f t="shared" si="2"/>
        <v>11.93</v>
      </c>
      <c r="H3" s="13">
        <f t="shared" si="3"/>
        <v>154.167059634987</v>
      </c>
      <c r="I3" s="13">
        <f t="shared" si="4"/>
        <v>32.572410799571898</v>
      </c>
      <c r="J3" s="3"/>
    </row>
    <row r="4" spans="1:13" x14ac:dyDescent="0.25">
      <c r="A4" s="1" t="s">
        <v>12</v>
      </c>
      <c r="B4" s="11">
        <v>225.69999694824199</v>
      </c>
      <c r="C4" s="11">
        <v>234.89999389648401</v>
      </c>
      <c r="D4" s="11">
        <v>56.200000762939503</v>
      </c>
      <c r="E4" s="13">
        <f t="shared" si="0"/>
        <v>617.84254052256802</v>
      </c>
      <c r="F4" s="13">
        <f t="shared" si="1"/>
        <v>210.90803149286501</v>
      </c>
      <c r="G4" s="13">
        <f t="shared" si="2"/>
        <v>13.46</v>
      </c>
      <c r="H4" s="13">
        <f t="shared" si="3"/>
        <v>205.11494867910901</v>
      </c>
      <c r="I4" s="13">
        <f t="shared" si="4"/>
        <v>49.092316879135701</v>
      </c>
      <c r="J4" s="3"/>
    </row>
    <row r="5" spans="1:13" x14ac:dyDescent="0.25">
      <c r="A5" s="1" t="s">
        <v>13</v>
      </c>
      <c r="B5" s="11">
        <v>193.89999389648401</v>
      </c>
      <c r="C5" s="11">
        <v>259.10000610351602</v>
      </c>
      <c r="D5" s="11">
        <v>4.3000001907348597</v>
      </c>
      <c r="E5" s="13">
        <f t="shared" si="0"/>
        <v>771.59392530289006</v>
      </c>
      <c r="F5" s="13">
        <f t="shared" si="1"/>
        <v>145.08695571709799</v>
      </c>
      <c r="G5" s="13">
        <f t="shared" si="2"/>
        <v>0.95</v>
      </c>
      <c r="H5" s="13">
        <f t="shared" si="3"/>
        <v>145.067012722633</v>
      </c>
      <c r="I5" s="13">
        <f t="shared" si="4"/>
        <v>2.4055226015437898</v>
      </c>
      <c r="J5" s="3"/>
    </row>
    <row r="6" spans="1:13" x14ac:dyDescent="0.25">
      <c r="A6" s="1" t="s">
        <v>14</v>
      </c>
      <c r="B6" s="11">
        <v>216.5</v>
      </c>
      <c r="C6" s="11">
        <v>238.10000610351599</v>
      </c>
      <c r="D6" s="11">
        <v>-5.4000000953674299</v>
      </c>
      <c r="E6" s="13">
        <f t="shared" si="0"/>
        <v>635.11525167324498</v>
      </c>
      <c r="F6" s="13">
        <f t="shared" si="1"/>
        <v>196.80889877899301</v>
      </c>
      <c r="G6" s="13">
        <f t="shared" si="2"/>
        <v>-1.3</v>
      </c>
      <c r="H6" s="13">
        <f t="shared" si="3"/>
        <v>196.758242003237</v>
      </c>
      <c r="I6" s="13">
        <f t="shared" si="4"/>
        <v>-4.4650691366907704</v>
      </c>
      <c r="J6" s="3"/>
    </row>
    <row r="7" spans="1:13" x14ac:dyDescent="0.25">
      <c r="A7" s="1" t="s">
        <v>15</v>
      </c>
      <c r="B7" s="11">
        <v>224.89999389648401</v>
      </c>
      <c r="C7" s="11">
        <v>211.39999389648401</v>
      </c>
      <c r="D7" s="11">
        <v>-4.3000001907348597</v>
      </c>
      <c r="E7" s="13">
        <f t="shared" si="0"/>
        <v>542.80610458191404</v>
      </c>
      <c r="F7" s="13">
        <f t="shared" si="1"/>
        <v>239.212622925256</v>
      </c>
      <c r="G7" s="13">
        <f t="shared" si="2"/>
        <v>-1.17</v>
      </c>
      <c r="H7" s="13">
        <f t="shared" si="3"/>
        <v>239.16274992851899</v>
      </c>
      <c r="I7" s="13">
        <f t="shared" si="4"/>
        <v>-4.8844665429425298</v>
      </c>
      <c r="J7" s="3"/>
    </row>
    <row r="8" spans="1:13" x14ac:dyDescent="0.25">
      <c r="A8" s="1" t="s">
        <v>19</v>
      </c>
      <c r="B8" s="11">
        <v>229.19999694824199</v>
      </c>
      <c r="C8" s="11">
        <v>-94.199996948242202</v>
      </c>
      <c r="D8" s="11">
        <v>-3.7999999523162802</v>
      </c>
      <c r="E8" s="13">
        <f t="shared" si="0"/>
        <v>237.48092319224199</v>
      </c>
      <c r="F8" s="13">
        <f t="shared" si="1"/>
        <v>557.21814686229902</v>
      </c>
      <c r="G8" s="13">
        <f t="shared" si="2"/>
        <v>-177.69</v>
      </c>
      <c r="H8" s="13">
        <f t="shared" si="3"/>
        <v>-556.76533778707301</v>
      </c>
      <c r="I8" s="13">
        <f t="shared" si="4"/>
        <v>-22.459337289890598</v>
      </c>
    </row>
    <row r="9" spans="1:13" x14ac:dyDescent="0.25">
      <c r="A9" s="1" t="s">
        <v>20</v>
      </c>
      <c r="B9" s="11">
        <v>205.69999694824199</v>
      </c>
      <c r="C9" s="11">
        <v>307</v>
      </c>
      <c r="D9" s="11">
        <v>75.900001525878906</v>
      </c>
      <c r="E9" s="13">
        <f t="shared" si="0"/>
        <v>887.61858920508996</v>
      </c>
      <c r="F9" s="13">
        <f t="shared" si="1"/>
        <v>133.79727515252901</v>
      </c>
      <c r="G9" s="13">
        <f t="shared" si="2"/>
        <v>13.89</v>
      </c>
      <c r="H9" s="13">
        <f t="shared" si="3"/>
        <v>129.88482801501999</v>
      </c>
      <c r="I9" s="13">
        <f t="shared" si="4"/>
        <v>32.119188809029701</v>
      </c>
    </row>
    <row r="10" spans="1:13" x14ac:dyDescent="0.25">
      <c r="A10" s="1" t="s">
        <v>21</v>
      </c>
      <c r="B10" s="11">
        <v>235</v>
      </c>
      <c r="C10" s="11">
        <v>-85.599998474121094</v>
      </c>
      <c r="D10" s="11">
        <v>75.699996948242202</v>
      </c>
      <c r="E10" s="13">
        <f t="shared" si="0"/>
        <v>280.74196545018202</v>
      </c>
      <c r="F10" s="13">
        <f t="shared" si="1"/>
        <v>483.28119752954501</v>
      </c>
      <c r="G10" s="13">
        <f t="shared" si="2"/>
        <v>138.51</v>
      </c>
      <c r="H10" s="13">
        <f t="shared" si="3"/>
        <v>-362.01210312093298</v>
      </c>
      <c r="I10" s="13">
        <f t="shared" si="4"/>
        <v>320.16863225423901</v>
      </c>
    </row>
    <row r="11" spans="1:13" x14ac:dyDescent="0.25">
      <c r="A11" s="1" t="s">
        <v>22</v>
      </c>
      <c r="B11" s="11">
        <v>198.19999694824199</v>
      </c>
      <c r="C11" s="11">
        <v>269.5</v>
      </c>
      <c r="D11" s="11">
        <v>44.2299995422363</v>
      </c>
      <c r="E11" s="13">
        <f t="shared" si="0"/>
        <v>795.54723025280896</v>
      </c>
      <c r="F11" s="13">
        <f t="shared" si="1"/>
        <v>143.83913014829699</v>
      </c>
      <c r="G11" s="13">
        <f t="shared" si="2"/>
        <v>9.32</v>
      </c>
      <c r="H11" s="13">
        <f t="shared" si="3"/>
        <v>141.94034516269301</v>
      </c>
      <c r="I11" s="13">
        <f t="shared" si="4"/>
        <v>23.294501001614499</v>
      </c>
    </row>
    <row r="12" spans="1:13" x14ac:dyDescent="0.25">
      <c r="A12" s="1" t="s">
        <v>23</v>
      </c>
      <c r="B12" s="11">
        <v>189.919998168945</v>
      </c>
      <c r="C12" s="11">
        <v>210.66000366210901</v>
      </c>
      <c r="D12" s="11">
        <v>130.96000671386699</v>
      </c>
      <c r="E12" s="13">
        <f t="shared" si="0"/>
        <v>754.05954353111599</v>
      </c>
      <c r="F12" s="13">
        <f t="shared" si="1"/>
        <v>145.41340005308101</v>
      </c>
      <c r="G12" s="13">
        <f t="shared" si="2"/>
        <v>31.87</v>
      </c>
      <c r="H12" s="13">
        <f t="shared" si="3"/>
        <v>123.492077107556</v>
      </c>
      <c r="I12" s="13">
        <f t="shared" si="4"/>
        <v>76.777365197424501</v>
      </c>
    </row>
    <row r="13" spans="1:13" x14ac:dyDescent="0.25">
      <c r="A13" s="1" t="s">
        <v>24</v>
      </c>
      <c r="B13" s="11">
        <v>171.80000305175801</v>
      </c>
      <c r="C13" s="11">
        <v>61</v>
      </c>
      <c r="D13" s="11">
        <v>-6.8400001525878897</v>
      </c>
      <c r="E13" s="13">
        <f t="shared" si="0"/>
        <v>206.281032508507</v>
      </c>
      <c r="F13" s="13">
        <f t="shared" si="1"/>
        <v>480.84293937504998</v>
      </c>
      <c r="G13" s="13">
        <f t="shared" si="2"/>
        <v>-6.4</v>
      </c>
      <c r="H13" s="13">
        <f t="shared" si="3"/>
        <v>477.846287305808</v>
      </c>
      <c r="I13" s="13">
        <f t="shared" si="4"/>
        <v>-53.5990490110877</v>
      </c>
    </row>
    <row r="14" spans="1:13" x14ac:dyDescent="0.25">
      <c r="A14" s="1" t="s">
        <v>25</v>
      </c>
      <c r="B14" s="11">
        <v>194.28999328613301</v>
      </c>
      <c r="C14" s="11">
        <v>-21.379999160766602</v>
      </c>
      <c r="D14" s="11">
        <v>45.9799995422363</v>
      </c>
      <c r="E14" s="13">
        <f t="shared" si="0"/>
        <v>150.68233275752101</v>
      </c>
      <c r="F14" s="13">
        <f t="shared" si="1"/>
        <v>744.43617822873296</v>
      </c>
      <c r="G14" s="13">
        <f t="shared" si="2"/>
        <v>114.94</v>
      </c>
      <c r="H14" s="13">
        <f t="shared" si="3"/>
        <v>-313.90561930244502</v>
      </c>
      <c r="I14" s="13">
        <f t="shared" si="4"/>
        <v>675.01739653593404</v>
      </c>
    </row>
    <row r="15" spans="1:13" x14ac:dyDescent="0.25">
      <c r="A15" s="1" t="s">
        <v>26</v>
      </c>
      <c r="B15" s="11">
        <v>199.97000122070301</v>
      </c>
      <c r="C15" s="11">
        <v>5.6100001335143999</v>
      </c>
      <c r="D15" s="11">
        <v>6.5199999809265101</v>
      </c>
      <c r="E15" s="13">
        <f t="shared" si="0"/>
        <v>24.8335626540294</v>
      </c>
      <c r="F15" s="13">
        <f t="shared" si="1"/>
        <v>4649.06045270511</v>
      </c>
      <c r="G15" s="13">
        <f t="shared" si="2"/>
        <v>49.29</v>
      </c>
      <c r="H15" s="13">
        <f t="shared" si="3"/>
        <v>3032.2600152477098</v>
      </c>
      <c r="I15" s="13">
        <f t="shared" si="4"/>
        <v>3524.0831847214599</v>
      </c>
    </row>
    <row r="16" spans="1:13" x14ac:dyDescent="0.25">
      <c r="A16" s="1" t="s">
        <v>27</v>
      </c>
      <c r="B16" s="11">
        <v>194.28999328613301</v>
      </c>
      <c r="C16" s="11">
        <v>-21.379999160766602</v>
      </c>
      <c r="D16" s="11">
        <v>45.9799995422363</v>
      </c>
      <c r="E16" s="13">
        <f t="shared" si="0"/>
        <v>150.68233275752101</v>
      </c>
      <c r="F16" s="13">
        <f t="shared" si="1"/>
        <v>744.43617822873296</v>
      </c>
      <c r="G16" s="13">
        <f t="shared" si="2"/>
        <v>114.94</v>
      </c>
      <c r="H16" s="13">
        <f t="shared" si="3"/>
        <v>-313.90561930244502</v>
      </c>
      <c r="I16" s="13">
        <f t="shared" si="4"/>
        <v>675.01739653593404</v>
      </c>
    </row>
    <row r="17" spans="1:9" x14ac:dyDescent="0.25">
      <c r="A17" s="1" t="s">
        <v>28</v>
      </c>
      <c r="B17" s="11">
        <v>206.22999572753901</v>
      </c>
      <c r="C17" s="11">
        <v>-40.5</v>
      </c>
      <c r="D17" s="11">
        <v>44.9799995422363</v>
      </c>
      <c r="E17" s="13">
        <f t="shared" si="0"/>
        <v>169.44653616342001</v>
      </c>
      <c r="F17" s="13">
        <f t="shared" si="1"/>
        <v>702.681484344051</v>
      </c>
      <c r="G17" s="13">
        <f t="shared" si="2"/>
        <v>132</v>
      </c>
      <c r="H17" s="13">
        <f t="shared" si="3"/>
        <v>-470.185687696277</v>
      </c>
      <c r="I17" s="13">
        <f t="shared" si="4"/>
        <v>522.19410904905601</v>
      </c>
    </row>
    <row r="18" spans="1:9" x14ac:dyDescent="0.25">
      <c r="A18" s="1" t="s">
        <v>29</v>
      </c>
      <c r="B18" s="11">
        <v>241</v>
      </c>
      <c r="C18" s="11">
        <v>-0.20000000298023199</v>
      </c>
      <c r="D18" s="11">
        <v>55.299999237060497</v>
      </c>
      <c r="E18" s="13">
        <f t="shared" si="0"/>
        <v>132.47999274538</v>
      </c>
      <c r="F18" s="13">
        <f t="shared" si="1"/>
        <v>1050.28247655571</v>
      </c>
      <c r="G18" s="13">
        <f t="shared" si="2"/>
        <v>90.21</v>
      </c>
      <c r="H18" s="13">
        <f t="shared" si="3"/>
        <v>-3.849477712543</v>
      </c>
      <c r="I18" s="13">
        <f t="shared" si="4"/>
        <v>1050.27542201145</v>
      </c>
    </row>
    <row r="29" spans="1:9" ht="31.5" x14ac:dyDescent="0.25">
      <c r="D29" s="8" t="s">
        <v>16</v>
      </c>
      <c r="E29" s="8" t="s">
        <v>17</v>
      </c>
      <c r="F29" s="8" t="s">
        <v>18</v>
      </c>
    </row>
    <row r="30" spans="1:9" ht="15.75" x14ac:dyDescent="0.25">
      <c r="D30" s="8">
        <v>731</v>
      </c>
      <c r="E30" s="9">
        <v>731</v>
      </c>
      <c r="F30" s="10">
        <v>1000</v>
      </c>
    </row>
    <row r="35" spans="10:14" x14ac:dyDescent="0.25">
      <c r="J35" s="5"/>
      <c r="L35" s="5"/>
      <c r="M35" s="5"/>
      <c r="N35" s="5"/>
    </row>
    <row r="37" spans="10:14" x14ac:dyDescent="0.25">
      <c r="J37" s="5"/>
    </row>
    <row r="38" spans="10:14" x14ac:dyDescent="0.25">
      <c r="J38" s="5"/>
    </row>
    <row r="39" spans="10:14" ht="18.75" customHeight="1" x14ac:dyDescent="0.25">
      <c r="J39" s="5"/>
    </row>
    <row r="40" spans="10:14" ht="15.75" customHeight="1" x14ac:dyDescent="0.25">
      <c r="J40" s="5"/>
    </row>
    <row r="41" spans="10:14" x14ac:dyDescent="0.25">
      <c r="J41" s="5"/>
    </row>
    <row r="42" spans="10:14" x14ac:dyDescent="0.25">
      <c r="J42" s="5"/>
    </row>
    <row r="65" ht="15" customHeight="1" x14ac:dyDescent="0.25"/>
    <row r="66" ht="25.5" customHeight="1" x14ac:dyDescent="0.25"/>
    <row r="67" ht="15" customHeight="1" x14ac:dyDescent="0.25"/>
    <row r="69" ht="15" customHeight="1" x14ac:dyDescent="0.25"/>
    <row r="71" ht="15" customHeight="1" x14ac:dyDescent="0.25"/>
    <row r="73" ht="15" customHeight="1" x14ac:dyDescent="0.25"/>
    <row r="75" ht="15" customHeight="1" x14ac:dyDescent="0.25"/>
    <row r="77" ht="15" customHeight="1" x14ac:dyDescent="0.25"/>
    <row r="79" ht="15" customHeight="1" x14ac:dyDescent="0.25"/>
    <row r="81" ht="15" customHeight="1" x14ac:dyDescent="0.25"/>
    <row r="83" ht="15" customHeight="1" x14ac:dyDescent="0.25"/>
    <row r="85" ht="15" customHeight="1" x14ac:dyDescent="0.25"/>
    <row r="87" ht="15" customHeight="1" x14ac:dyDescent="0.25"/>
    <row r="89" ht="15" customHeight="1" x14ac:dyDescent="0.25"/>
    <row r="91" ht="15" customHeight="1" x14ac:dyDescent="0.25"/>
    <row r="93" ht="15" customHeight="1" x14ac:dyDescent="0.25"/>
    <row r="95" ht="15" customHeight="1" x14ac:dyDescent="0.25"/>
    <row r="97" ht="15" customHeight="1" x14ac:dyDescent="0.25"/>
    <row r="99" ht="15" customHeight="1" x14ac:dyDescent="0.25"/>
    <row r="101" ht="15" customHeight="1" x14ac:dyDescent="0.25"/>
    <row r="103" ht="15" customHeight="1" x14ac:dyDescent="0.25"/>
    <row r="105" ht="15" customHeight="1" x14ac:dyDescent="0.25"/>
    <row r="107" ht="15" customHeight="1" x14ac:dyDescent="0.25"/>
    <row r="109" ht="15" customHeight="1" x14ac:dyDescent="0.25"/>
    <row r="111" ht="15" customHeight="1" x14ac:dyDescent="0.25"/>
    <row r="113" ht="15" customHeight="1" x14ac:dyDescent="0.25"/>
    <row r="115" ht="15" customHeight="1" x14ac:dyDescent="0.25"/>
    <row r="117" ht="15" customHeight="1" x14ac:dyDescent="0.25"/>
    <row r="119" ht="15" customHeight="1" x14ac:dyDescent="0.25"/>
    <row r="121" ht="15" customHeight="1" x14ac:dyDescent="0.25"/>
    <row r="123" ht="15" customHeight="1" x14ac:dyDescent="0.25"/>
    <row r="125" ht="15" customHeight="1" x14ac:dyDescent="0.25"/>
    <row r="127" ht="15" customHeight="1" x14ac:dyDescent="0.25"/>
    <row r="129" ht="15" customHeight="1" x14ac:dyDescent="0.25"/>
    <row r="131" ht="15" customHeight="1" x14ac:dyDescent="0.25"/>
    <row r="133" ht="15" customHeight="1" x14ac:dyDescent="0.25"/>
    <row r="135" ht="15" customHeight="1" x14ac:dyDescent="0.25"/>
    <row r="137" ht="15" customHeight="1" x14ac:dyDescent="0.25"/>
    <row r="139" ht="15" customHeight="1" x14ac:dyDescent="0.25"/>
    <row r="141" ht="15" customHeigh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Заруцкая Татьяна Николаевна</dc:creator>
  <cp:lastModifiedBy>Клемент Артур Робертович</cp:lastModifiedBy>
  <dcterms:created xsi:type="dcterms:W3CDTF">2025-05-19T15:29:24Z</dcterms:created>
  <dcterms:modified xsi:type="dcterms:W3CDTF">2026-05-28T04:00:42Z</dcterms:modified>
</cp:coreProperties>
</file>